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filterPrivacy="1" codeName="ThisWorkbook"/>
  <xr:revisionPtr revIDLastSave="0" documentId="13_ncr:1_{29C3E426-879C-4CB6-838A-76C261B3D89A}" xr6:coauthVersionLast="47" xr6:coauthVersionMax="47" xr10:uidLastSave="{00000000-0000-0000-0000-000000000000}"/>
  <bookViews>
    <workbookView xWindow="-120" yWindow="-120" windowWidth="20730" windowHeight="11040" xr2:uid="{00000000-000D-0000-FFFF-FFFF00000000}"/>
  </bookViews>
  <sheets>
    <sheet name="CronogramaDeProjeto" sheetId="11" r:id="rId1"/>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E3" i="11" l="1"/>
  <c r="E9" i="11" s="1"/>
  <c r="E21" i="11" s="1"/>
  <c r="F21" i="11" s="1"/>
  <c r="E22" i="11" s="1"/>
  <c r="F22" i="11" l="1"/>
  <c r="H22" i="11" s="1"/>
  <c r="E23" i="11"/>
  <c r="F9" i="11"/>
  <c r="E10" i="11" s="1"/>
  <c r="I5" i="11"/>
  <c r="H33" i="11"/>
  <c r="H32" i="11"/>
  <c r="H31" i="11"/>
  <c r="H30" i="11"/>
  <c r="H29" i="11"/>
  <c r="H28" i="11"/>
  <c r="H26" i="11"/>
  <c r="H21" i="11"/>
  <c r="H20" i="11"/>
  <c r="H14" i="11"/>
  <c r="H8" i="11"/>
  <c r="H9" i="11" l="1"/>
  <c r="F23" i="11"/>
  <c r="E25" i="11"/>
  <c r="F10" i="11"/>
  <c r="E11" i="11" s="1"/>
  <c r="E13" i="11"/>
  <c r="E15" i="11" s="1"/>
  <c r="E16" i="11" s="1"/>
  <c r="I6" i="11"/>
  <c r="H27" i="11" l="1"/>
  <c r="F25" i="11"/>
  <c r="H25" i="11" s="1"/>
  <c r="H10" i="11"/>
  <c r="E24" i="11"/>
  <c r="H23" i="11"/>
  <c r="F16" i="11"/>
  <c r="F15" i="11"/>
  <c r="H15" i="11" s="1"/>
  <c r="F13" i="11"/>
  <c r="H13" i="11" s="1"/>
  <c r="F11" i="11"/>
  <c r="E12" i="11" s="1"/>
  <c r="J5" i="11"/>
  <c r="K5" i="11" s="1"/>
  <c r="L5" i="11" s="1"/>
  <c r="M5" i="11" s="1"/>
  <c r="N5" i="11" s="1"/>
  <c r="O5" i="11" s="1"/>
  <c r="P5" i="11" s="1"/>
  <c r="I4" i="11"/>
  <c r="F24" i="11" l="1"/>
  <c r="H24" i="11" s="1"/>
  <c r="H16" i="11"/>
  <c r="E17" i="11"/>
  <c r="E18" i="11" s="1"/>
  <c r="E19" i="11" s="1"/>
  <c r="H11" i="11"/>
  <c r="F12" i="11"/>
  <c r="H12" i="11" s="1"/>
  <c r="P4" i="11"/>
  <c r="Q5" i="11"/>
  <c r="R5" i="11" s="1"/>
  <c r="S5" i="11" s="1"/>
  <c r="T5" i="11" s="1"/>
  <c r="U5" i="11" s="1"/>
  <c r="V5" i="11" s="1"/>
  <c r="W5" i="11" s="1"/>
  <c r="J6" i="11"/>
  <c r="F19" i="11" l="1"/>
  <c r="H19" i="11" s="1"/>
  <c r="F18" i="1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<sst xmlns="http://schemas.openxmlformats.org/spreadsheetml/2006/main" count="62" uniqueCount="37">
  <si>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</si>
  <si>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</si>
  <si>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</si>
  <si>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</si>
  <si>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</si>
  <si>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</si>
  <si>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</si>
  <si>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</si>
  <si>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</si>
  <si>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</si>
  <si>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</si>
  <si>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</si>
  <si>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</si>
  <si>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</si>
  <si>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</si>
  <si>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</si>
  <si>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Título Fase 1</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</si>
  <si>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</si>
  <si>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</si>
  <si>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Nome</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</si>
  <si>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</si>
  <si>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</si>
  <si>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</si>
  <si>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</si>
  <si>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</si>
  <si>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</si>
  <si>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</si>
  <si>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</si>
  <si>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</si>
  <si>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</si>
  <si>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</si>
  <si>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</si>
  <si>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</si>
  <si>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</si>
  <si>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ISMAR@MACKENZIE.BR</t>
  </si>
  <si>
    <t>Mackenzie</t>
  </si>
  <si>
    <t>Projeto Aplicado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</si>
</sst>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1" applyNumberFormat="0" applyAlignment="0" applyProtection="0"/>
    <xf numFmtId="0" fontId="25" fillId="18" borderId="12" applyNumberFormat="0" applyAlignment="0" applyProtection="0"/>
    <xf numFmtId="0" fontId="26" fillId="18" borderId="11" applyNumberFormat="0" applyAlignment="0" applyProtection="0"/>
    <xf numFmtId="0" fontId="27" fillId="0" borderId="13" applyNumberFormat="0" applyFill="0" applyAlignment="0" applyProtection="0"/>
    <xf numFmtId="0" fontId="28" fillId="19" borderId="14" applyNumberFormat="0" applyAlignment="0" applyProtection="0"/>
    <xf numFmtId="0" fontId="29" fillId="0" borderId="0" applyNumberFormat="0" applyFill="0" applyBorder="0" applyAlignment="0" applyProtection="0"/>
    <xf numFmtId="0" fontId="9" fillId="20"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7" fontId="9" fillId="0" borderId="3" xfId="9">
      <alignment horizontal="center" vertical="center"/>
    </xf>
    <xf numFmtId="0" fontId="6" fillId="0" borderId="0" xfId="7" applyFont="1">
      <alignment vertical="top"/>
    </xf>
    <xf numFmtId="0" fontId="31" fillId="45" borderId="0" xfId="6" applyFont="1" applyFill="1" applyAlignment="1">
      <alignment horizont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C3" sqref="C3:D3"/>
    </sheetView>
  </sheetViews>
  <sheetFormatPr defaultRowHeight="30" customHeight="1" x14ac:dyDescent="0.25"/>
  <cols>
    <col min="1" max="1" width="2.7109375" style="35" customWidth="1"/>
    <col min="2" max="2" width="21.8554687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36" t="s">
        <v>0</v>
      </c>
      <c r="B1" s="39" t="s">
        <v>36</v>
      </c>
      <c r="C1" s="1"/>
      <c r="D1" s="2"/>
      <c r="E1" s="4"/>
      <c r="F1" s="34"/>
      <c r="H1" s="2"/>
      <c r="I1" s="55"/>
    </row>
    <row r="2" spans="1:64" ht="30" customHeight="1" x14ac:dyDescent="0.3">
      <c r="A2" s="35" t="s">
        <v>1</v>
      </c>
      <c r="B2" s="82" t="s">
        <v>35</v>
      </c>
      <c r="I2" s="56"/>
    </row>
    <row r="3" spans="1:64" ht="30" customHeight="1" x14ac:dyDescent="0.25">
      <c r="A3" s="35" t="s">
        <v>2</v>
      </c>
      <c r="B3" s="81" t="s">
        <v>34</v>
      </c>
      <c r="C3" s="75" t="s">
        <v>3</v>
      </c>
      <c r="D3" s="76"/>
      <c r="E3" s="80">
        <f ca="1">TODAY()</f>
        <v>46078</v>
      </c>
      <c r="F3" s="80"/>
    </row>
    <row r="4" spans="1:64" ht="30" customHeight="1" x14ac:dyDescent="0.25">
      <c r="A4" s="36" t="s">
        <v>4</v>
      </c>
      <c r="C4" s="75" t="s">
        <v>5</v>
      </c>
      <c r="D4" s="76"/>
      <c r="E4" s="7">
        <v>1</v>
      </c>
      <c r="I4" s="77">
        <f ca="1">I5</f>
        <v>46076</v>
      </c>
      <c r="J4" s="78"/>
      <c r="K4" s="78"/>
      <c r="L4" s="78"/>
      <c r="M4" s="78"/>
      <c r="N4" s="78"/>
      <c r="O4" s="79"/>
      <c r="P4" s="77">
        <f ca="1">P5</f>
        <v>46083</v>
      </c>
      <c r="Q4" s="78"/>
      <c r="R4" s="78"/>
      <c r="S4" s="78"/>
      <c r="T4" s="78"/>
      <c r="U4" s="78"/>
      <c r="V4" s="79"/>
      <c r="W4" s="77">
        <f ca="1">W5</f>
        <v>46090</v>
      </c>
      <c r="X4" s="78"/>
      <c r="Y4" s="78"/>
      <c r="Z4" s="78"/>
      <c r="AA4" s="78"/>
      <c r="AB4" s="78"/>
      <c r="AC4" s="79"/>
      <c r="AD4" s="77">
        <f ca="1">AD5</f>
        <v>46097</v>
      </c>
      <c r="AE4" s="78"/>
      <c r="AF4" s="78"/>
      <c r="AG4" s="78"/>
      <c r="AH4" s="78"/>
      <c r="AI4" s="78"/>
      <c r="AJ4" s="79"/>
      <c r="AK4" s="77">
        <f ca="1">AK5</f>
        <v>46104</v>
      </c>
      <c r="AL4" s="78"/>
      <c r="AM4" s="78"/>
      <c r="AN4" s="78"/>
      <c r="AO4" s="78"/>
      <c r="AP4" s="78"/>
      <c r="AQ4" s="79"/>
      <c r="AR4" s="77">
        <f ca="1">AR5</f>
        <v>46111</v>
      </c>
      <c r="AS4" s="78"/>
      <c r="AT4" s="78"/>
      <c r="AU4" s="78"/>
      <c r="AV4" s="78"/>
      <c r="AW4" s="78"/>
      <c r="AX4" s="79"/>
      <c r="AY4" s="77">
        <f ca="1">AY5</f>
        <v>46118</v>
      </c>
      <c r="AZ4" s="78"/>
      <c r="BA4" s="78"/>
      <c r="BB4" s="78"/>
      <c r="BC4" s="78"/>
      <c r="BD4" s="78"/>
      <c r="BE4" s="79"/>
      <c r="BF4" s="77">
        <f ca="1">BF5</f>
        <v>46125</v>
      </c>
      <c r="BG4" s="78"/>
      <c r="BH4" s="78"/>
      <c r="BI4" s="78"/>
      <c r="BJ4" s="78"/>
      <c r="BK4" s="78"/>
      <c r="BL4" s="79"/>
    </row>
    <row r="5" spans="1:64" ht="15" customHeight="1" x14ac:dyDescent="0.25">
      <c r="A5" s="36" t="s">
        <v>6</v>
      </c>
      <c r="B5" s="54"/>
      <c r="C5" s="54"/>
      <c r="D5" s="54"/>
      <c r="E5" s="54"/>
      <c r="F5" s="54"/>
      <c r="G5" s="54"/>
      <c r="I5" s="72">
        <f ca="1">Início_do_projeto-WEEKDAY(Início_do_projeto,1)+2+7*(Semana_de_exibição-1)</f>
        <v>46076</v>
      </c>
      <c r="J5" s="73">
        <f ca="1">I5+1</f>
        <v>46077</v>
      </c>
      <c r="K5" s="73">
        <f t="shared" ref="K5:AX5" ca="1" si="0">J5+1</f>
        <v>46078</v>
      </c>
      <c r="L5" s="73">
        <f t="shared" ca="1" si="0"/>
        <v>46079</v>
      </c>
      <c r="M5" s="73">
        <f t="shared" ca="1" si="0"/>
        <v>46080</v>
      </c>
      <c r="N5" s="73">
        <f t="shared" ca="1" si="0"/>
        <v>46081</v>
      </c>
      <c r="O5" s="74">
        <f t="shared" ca="1" si="0"/>
        <v>46082</v>
      </c>
      <c r="P5" s="72">
        <f ca="1">O5+1</f>
        <v>46083</v>
      </c>
      <c r="Q5" s="73">
        <f ca="1">P5+1</f>
        <v>46084</v>
      </c>
      <c r="R5" s="73">
        <f t="shared" ca="1" si="0"/>
        <v>46085</v>
      </c>
      <c r="S5" s="73">
        <f t="shared" ca="1" si="0"/>
        <v>46086</v>
      </c>
      <c r="T5" s="73">
        <f t="shared" ca="1" si="0"/>
        <v>46087</v>
      </c>
      <c r="U5" s="73">
        <f t="shared" ca="1" si="0"/>
        <v>46088</v>
      </c>
      <c r="V5" s="74">
        <f t="shared" ca="1" si="0"/>
        <v>46089</v>
      </c>
      <c r="W5" s="72">
        <f ca="1">V5+1</f>
        <v>46090</v>
      </c>
      <c r="X5" s="73">
        <f ca="1">W5+1</f>
        <v>46091</v>
      </c>
      <c r="Y5" s="73">
        <f t="shared" ca="1" si="0"/>
        <v>46092</v>
      </c>
      <c r="Z5" s="73">
        <f t="shared" ca="1" si="0"/>
        <v>46093</v>
      </c>
      <c r="AA5" s="73">
        <f t="shared" ca="1" si="0"/>
        <v>46094</v>
      </c>
      <c r="AB5" s="73">
        <f t="shared" ca="1" si="0"/>
        <v>46095</v>
      </c>
      <c r="AC5" s="74">
        <f t="shared" ca="1" si="0"/>
        <v>46096</v>
      </c>
      <c r="AD5" s="72">
        <f ca="1">AC5+1</f>
        <v>46097</v>
      </c>
      <c r="AE5" s="73">
        <f ca="1">AD5+1</f>
        <v>46098</v>
      </c>
      <c r="AF5" s="73">
        <f t="shared" ca="1" si="0"/>
        <v>46099</v>
      </c>
      <c r="AG5" s="73">
        <f t="shared" ca="1" si="0"/>
        <v>46100</v>
      </c>
      <c r="AH5" s="73">
        <f t="shared" ca="1" si="0"/>
        <v>46101</v>
      </c>
      <c r="AI5" s="73">
        <f t="shared" ca="1" si="0"/>
        <v>46102</v>
      </c>
      <c r="AJ5" s="74">
        <f t="shared" ca="1" si="0"/>
        <v>46103</v>
      </c>
      <c r="AK5" s="72">
        <f ca="1">AJ5+1</f>
        <v>46104</v>
      </c>
      <c r="AL5" s="73">
        <f ca="1">AK5+1</f>
        <v>46105</v>
      </c>
      <c r="AM5" s="73">
        <f t="shared" ca="1" si="0"/>
        <v>46106</v>
      </c>
      <c r="AN5" s="73">
        <f t="shared" ca="1" si="0"/>
        <v>46107</v>
      </c>
      <c r="AO5" s="73">
        <f t="shared" ca="1" si="0"/>
        <v>46108</v>
      </c>
      <c r="AP5" s="73">
        <f t="shared" ca="1" si="0"/>
        <v>46109</v>
      </c>
      <c r="AQ5" s="74">
        <f t="shared" ca="1" si="0"/>
        <v>46110</v>
      </c>
      <c r="AR5" s="72">
        <f ca="1">AQ5+1</f>
        <v>46111</v>
      </c>
      <c r="AS5" s="73">
        <f ca="1">AR5+1</f>
        <v>46112</v>
      </c>
      <c r="AT5" s="73">
        <f t="shared" ca="1" si="0"/>
        <v>46113</v>
      </c>
      <c r="AU5" s="73">
        <f t="shared" ca="1" si="0"/>
        <v>46114</v>
      </c>
      <c r="AV5" s="73">
        <f t="shared" ca="1" si="0"/>
        <v>46115</v>
      </c>
      <c r="AW5" s="73">
        <f t="shared" ca="1" si="0"/>
        <v>46116</v>
      </c>
      <c r="AX5" s="74">
        <f t="shared" ca="1" si="0"/>
        <v>46117</v>
      </c>
      <c r="AY5" s="72">
        <f ca="1">AX5+1</f>
        <v>46118</v>
      </c>
      <c r="AZ5" s="73">
        <f ca="1">AY5+1</f>
        <v>46119</v>
      </c>
      <c r="BA5" s="73">
        <f t="shared" ref="BA5:BE5" ca="1" si="1">AZ5+1</f>
        <v>46120</v>
      </c>
      <c r="BB5" s="73">
        <f t="shared" ca="1" si="1"/>
        <v>46121</v>
      </c>
      <c r="BC5" s="73">
        <f t="shared" ca="1" si="1"/>
        <v>46122</v>
      </c>
      <c r="BD5" s="73">
        <f t="shared" ca="1" si="1"/>
        <v>46123</v>
      </c>
      <c r="BE5" s="74">
        <f t="shared" ca="1" si="1"/>
        <v>46124</v>
      </c>
      <c r="BF5" s="72">
        <f ca="1">BE5+1</f>
        <v>46125</v>
      </c>
      <c r="BG5" s="73">
        <f ca="1">BF5+1</f>
        <v>46126</v>
      </c>
      <c r="BH5" s="73">
        <f t="shared" ref="BH5:BL5" ca="1" si="2">BG5+1</f>
        <v>46127</v>
      </c>
      <c r="BI5" s="73">
        <f t="shared" ca="1" si="2"/>
        <v>46128</v>
      </c>
      <c r="BJ5" s="73">
        <f t="shared" ca="1" si="2"/>
        <v>46129</v>
      </c>
      <c r="BK5" s="73">
        <f t="shared" ca="1" si="2"/>
        <v>46130</v>
      </c>
      <c r="BL5" s="74">
        <f t="shared" ca="1" si="2"/>
        <v>46131</v>
      </c>
    </row>
    <row r="6" spans="1:64" ht="30" customHeight="1" thickBot="1" x14ac:dyDescent="0.3">
      <c r="A6" s="36" t="s">
        <v>7</v>
      </c>
      <c r="B6" s="8" t="s">
        <v>8</v>
      </c>
      <c r="C6" s="9" t="s">
        <v>9</v>
      </c>
      <c r="D6" s="9" t="s">
        <v>10</v>
      </c>
      <c r="E6" s="9" t="s">
        <v>11</v>
      </c>
      <c r="F6" s="9" t="s">
        <v>12</v>
      </c>
      <c r="G6" s="9"/>
      <c r="H6" s="9" t="s">
        <v>13</v>
      </c>
      <c r="I6" s="10" t="str">
        <f t="shared" ref="I6" ca="1" si="3">LEFT(TEXT(I5,"ddd"),1)</f>
        <v>s</v>
      </c>
      <c r="J6" s="10" t="str">
        <f t="shared" ref="J6:AR6" ca="1" si="4">LEFT(TEXT(J5,"ddd"),1)</f>
        <v>t</v>
      </c>
      <c r="K6" s="10" t="str">
        <f t="shared" ca="1" si="4"/>
        <v>q</v>
      </c>
      <c r="L6" s="10" t="str">
        <f t="shared" ca="1" si="4"/>
        <v>q</v>
      </c>
      <c r="M6" s="10" t="str">
        <f t="shared" ca="1" si="4"/>
        <v>s</v>
      </c>
      <c r="N6" s="10" t="str">
        <f t="shared" ca="1" si="4"/>
        <v>s</v>
      </c>
      <c r="O6" s="10" t="str">
        <f t="shared" ca="1" si="4"/>
        <v>d</v>
      </c>
      <c r="P6" s="10" t="str">
        <f t="shared" ca="1" si="4"/>
        <v>s</v>
      </c>
      <c r="Q6" s="10" t="str">
        <f t="shared" ca="1" si="4"/>
        <v>t</v>
      </c>
      <c r="R6" s="10" t="str">
        <f t="shared" ca="1" si="4"/>
        <v>q</v>
      </c>
      <c r="S6" s="10" t="str">
        <f t="shared" ca="1" si="4"/>
        <v>q</v>
      </c>
      <c r="T6" s="10" t="str">
        <f t="shared" ca="1" si="4"/>
        <v>s</v>
      </c>
      <c r="U6" s="10" t="str">
        <f t="shared" ca="1" si="4"/>
        <v>s</v>
      </c>
      <c r="V6" s="10" t="str">
        <f t="shared" ca="1" si="4"/>
        <v>d</v>
      </c>
      <c r="W6" s="10" t="str">
        <f t="shared" ca="1" si="4"/>
        <v>s</v>
      </c>
      <c r="X6" s="10" t="str">
        <f t="shared" ca="1" si="4"/>
        <v>t</v>
      </c>
      <c r="Y6" s="10" t="str">
        <f t="shared" ca="1" si="4"/>
        <v>q</v>
      </c>
      <c r="Z6" s="10" t="str">
        <f t="shared" ca="1" si="4"/>
        <v>q</v>
      </c>
      <c r="AA6" s="10" t="str">
        <f t="shared" ca="1" si="4"/>
        <v>s</v>
      </c>
      <c r="AB6" s="10" t="str">
        <f t="shared" ca="1" si="4"/>
        <v>s</v>
      </c>
      <c r="AC6" s="10" t="str">
        <f t="shared" ca="1" si="4"/>
        <v>d</v>
      </c>
      <c r="AD6" s="10" t="str">
        <f t="shared" ca="1" si="4"/>
        <v>s</v>
      </c>
      <c r="AE6" s="10" t="str">
        <f t="shared" ca="1" si="4"/>
        <v>t</v>
      </c>
      <c r="AF6" s="10" t="str">
        <f t="shared" ca="1" si="4"/>
        <v>q</v>
      </c>
      <c r="AG6" s="10" t="str">
        <f t="shared" ca="1" si="4"/>
        <v>q</v>
      </c>
      <c r="AH6" s="10" t="str">
        <f t="shared" ca="1" si="4"/>
        <v>s</v>
      </c>
      <c r="AI6" s="10" t="str">
        <f t="shared" ca="1" si="4"/>
        <v>s</v>
      </c>
      <c r="AJ6" s="10" t="str">
        <f t="shared" ca="1" si="4"/>
        <v>d</v>
      </c>
      <c r="AK6" s="10" t="str">
        <f t="shared" ca="1" si="4"/>
        <v>s</v>
      </c>
      <c r="AL6" s="10" t="str">
        <f t="shared" ca="1" si="4"/>
        <v>t</v>
      </c>
      <c r="AM6" s="10" t="str">
        <f t="shared" ca="1" si="4"/>
        <v>q</v>
      </c>
      <c r="AN6" s="10" t="str">
        <f t="shared" ca="1" si="4"/>
        <v>q</v>
      </c>
      <c r="AO6" s="10" t="str">
        <f t="shared" ca="1" si="4"/>
        <v>s</v>
      </c>
      <c r="AP6" s="10" t="str">
        <f t="shared" ca="1" si="4"/>
        <v>s</v>
      </c>
      <c r="AQ6" s="10" t="str">
        <f t="shared" ca="1" si="4"/>
        <v>d</v>
      </c>
      <c r="AR6" s="10" t="str">
        <f t="shared" ca="1" si="4"/>
        <v>s</v>
      </c>
      <c r="AS6" s="10" t="str">
        <f t="shared" ref="AS6:BL6" ca="1" si="5">LEFT(TEXT(AS5,"ddd"),1)</f>
        <v>t</v>
      </c>
      <c r="AT6" s="10" t="str">
        <f t="shared" ca="1" si="5"/>
        <v>q</v>
      </c>
      <c r="AU6" s="10" t="str">
        <f t="shared" ca="1" si="5"/>
        <v>q</v>
      </c>
      <c r="AV6" s="10" t="str">
        <f t="shared" ca="1" si="5"/>
        <v>s</v>
      </c>
      <c r="AW6" s="10" t="str">
        <f t="shared" ca="1" si="5"/>
        <v>s</v>
      </c>
      <c r="AX6" s="10" t="str">
        <f t="shared" ca="1" si="5"/>
        <v>d</v>
      </c>
      <c r="AY6" s="10" t="str">
        <f t="shared" ca="1" si="5"/>
        <v>s</v>
      </c>
      <c r="AZ6" s="10" t="str">
        <f t="shared" ca="1" si="5"/>
        <v>t</v>
      </c>
      <c r="BA6" s="10" t="str">
        <f t="shared" ca="1" si="5"/>
        <v>q</v>
      </c>
      <c r="BB6" s="10" t="str">
        <f t="shared" ca="1" si="5"/>
        <v>q</v>
      </c>
      <c r="BC6" s="10" t="str">
        <f t="shared" ca="1" si="5"/>
        <v>s</v>
      </c>
      <c r="BD6" s="10" t="str">
        <f t="shared" ca="1" si="5"/>
        <v>s</v>
      </c>
      <c r="BE6" s="10" t="str">
        <f t="shared" ca="1" si="5"/>
        <v>d</v>
      </c>
      <c r="BF6" s="10" t="str">
        <f t="shared" ca="1" si="5"/>
        <v>s</v>
      </c>
      <c r="BG6" s="10" t="str">
        <f t="shared" ca="1" si="5"/>
        <v>t</v>
      </c>
      <c r="BH6" s="10" t="str">
        <f t="shared" ca="1" si="5"/>
        <v>q</v>
      </c>
      <c r="BI6" s="10" t="str">
        <f t="shared" ca="1" si="5"/>
        <v>q</v>
      </c>
      <c r="BJ6" s="10" t="str">
        <f t="shared" ca="1" si="5"/>
        <v>s</v>
      </c>
      <c r="BK6" s="10" t="str">
        <f t="shared" ca="1" si="5"/>
        <v>s</v>
      </c>
      <c r="BL6" s="10" t="str">
        <f t="shared" ca="1" si="5"/>
        <v>d</v>
      </c>
    </row>
    <row r="7" spans="1:64" ht="30" hidden="1" customHeight="1" thickBot="1" x14ac:dyDescent="0.3">
      <c r="A7" s="35" t="s">
        <v>14</v>
      </c>
      <c r="C7" s="3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3">
      <c r="A8" s="36" t="s">
        <v>15</v>
      </c>
      <c r="B8" s="15" t="s">
        <v>16</v>
      </c>
      <c r="C8" s="40"/>
      <c r="D8" s="16"/>
      <c r="E8" s="57"/>
      <c r="F8" s="58"/>
      <c r="G8" s="14"/>
      <c r="H8" s="14" t="str">
        <f t="shared" ref="H8:H33" si="6">IF(OR(ISBLANK(início_da_tarefa),ISBLANK(término_da_tarefa)),"",término_da_tarefa-início_da_tarefa+1)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3">
      <c r="A9" s="36" t="s">
        <v>17</v>
      </c>
      <c r="B9" s="49" t="s">
        <v>18</v>
      </c>
      <c r="C9" s="41" t="s">
        <v>19</v>
      </c>
      <c r="D9" s="17">
        <v>0.5</v>
      </c>
      <c r="E9" s="59">
        <f ca="1">Início_do_projeto</f>
        <v>46078</v>
      </c>
      <c r="F9" s="59">
        <f ca="1">E9+3</f>
        <v>46081</v>
      </c>
      <c r="G9" s="14"/>
      <c r="H9" s="14">
        <f t="shared" ca="1" si="6"/>
        <v>4</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3">
      <c r="A10" s="36" t="s">
        <v>20</v>
      </c>
      <c r="B10" s="49" t="s">
        <v>21</v>
      </c>
      <c r="C10" s="41"/>
      <c r="D10" s="17">
        <v>1</v>
      </c>
      <c r="E10" s="59">
        <f ca="1">F9</f>
        <v>46081</v>
      </c>
      <c r="F10" s="59">
        <f ca="1">E10+2</f>
        <v>46083</v>
      </c>
      <c r="G10" s="14"/>
      <c r="H10" s="14">
        <f t="shared" ca="1"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3">
      <c r="A11" s="35"/>
      <c r="B11" s="49" t="s">
        <v>22</v>
      </c>
      <c r="C11" s="41"/>
      <c r="D11" s="17">
        <v>0.5</v>
      </c>
      <c r="E11" s="59">
        <f ca="1">F10</f>
        <v>46083</v>
      </c>
      <c r="F11" s="59">
        <f ca="1">E11+4</f>
        <v>46087</v>
      </c>
      <c r="G11" s="14"/>
      <c r="H11" s="14">
        <f t="shared" ca="1"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3">
      <c r="A12" s="35"/>
      <c r="B12" s="49" t="s">
        <v>23</v>
      </c>
      <c r="C12" s="41"/>
      <c r="D12" s="17">
        <v>0.25</v>
      </c>
      <c r="E12" s="59">
        <f ca="1">F11</f>
        <v>46087</v>
      </c>
      <c r="F12" s="59">
        <f ca="1">E12+5</f>
        <v>46092</v>
      </c>
      <c r="G12" s="14"/>
      <c r="H12" s="14">
        <f t="shared" ca="1" si="6"/>
        <v>6</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3">
      <c r="A13" s="35"/>
      <c r="B13" s="49" t="s">
        <v>24</v>
      </c>
      <c r="C13" s="41"/>
      <c r="D13" s="17"/>
      <c r="E13" s="59">
        <f ca="1">E10+1</f>
        <v>46082</v>
      </c>
      <c r="F13" s="59">
        <f ca="1">E13+2</f>
        <v>46084</v>
      </c>
      <c r="G13" s="14"/>
      <c r="H13" s="14">
        <f t="shared" ca="1" si="6"/>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3">
      <c r="A14" s="36" t="s">
        <v>25</v>
      </c>
      <c r="B14" s="18" t="s">
        <v>26</v>
      </c>
      <c r="C14" s="42"/>
      <c r="D14" s="19"/>
      <c r="E14" s="60"/>
      <c r="F14" s="61"/>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3">
      <c r="A15" s="36"/>
      <c r="B15" s="50" t="s">
        <v>18</v>
      </c>
      <c r="C15" s="43"/>
      <c r="D15" s="20">
        <v>0.5</v>
      </c>
      <c r="E15" s="62">
        <f ca="1">E13+1</f>
        <v>46083</v>
      </c>
      <c r="F15" s="62">
        <f ca="1">E15+4</f>
        <v>46087</v>
      </c>
      <c r="G15" s="14"/>
      <c r="H15" s="14">
        <f t="shared" ca="1" si="6"/>
        <v>5</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3">
      <c r="A16" s="35"/>
      <c r="B16" s="50" t="s">
        <v>21</v>
      </c>
      <c r="C16" s="43"/>
      <c r="D16" s="20">
        <v>0.5</v>
      </c>
      <c r="E16" s="62">
        <f ca="1">E15+2</f>
        <v>46085</v>
      </c>
      <c r="F16" s="62">
        <f ca="1">E16+5</f>
        <v>46090</v>
      </c>
      <c r="G16" s="14"/>
      <c r="H16" s="14">
        <f t="shared" ca="1" si="6"/>
        <v>6</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35"/>
      <c r="B17" s="50" t="s">
        <v>22</v>
      </c>
      <c r="C17" s="43"/>
      <c r="D17" s="20"/>
      <c r="E17" s="62">
        <f ca="1">F16</f>
        <v>46090</v>
      </c>
      <c r="F17" s="62">
        <f ca="1">E17+3</f>
        <v>46093</v>
      </c>
      <c r="G17" s="14"/>
      <c r="H17" s="14">
        <f t="shared" ca="1" si="6"/>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35"/>
      <c r="B18" s="50" t="s">
        <v>23</v>
      </c>
      <c r="C18" s="43"/>
      <c r="D18" s="20"/>
      <c r="E18" s="62">
        <f ca="1">E17</f>
        <v>46090</v>
      </c>
      <c r="F18" s="62">
        <f ca="1">E18+2</f>
        <v>46092</v>
      </c>
      <c r="G18" s="14"/>
      <c r="H18" s="14">
        <f t="shared" ca="1" si="6"/>
        <v>3</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35"/>
      <c r="B19" s="50" t="s">
        <v>24</v>
      </c>
      <c r="C19" s="43"/>
      <c r="D19" s="20"/>
      <c r="E19" s="62">
        <f ca="1">E18</f>
        <v>46090</v>
      </c>
      <c r="F19" s="62">
        <f ca="1">E19+3</f>
        <v>46093</v>
      </c>
      <c r="G19" s="14"/>
      <c r="H19" s="14">
        <f t="shared" ca="1" si="6"/>
        <v>4</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35" t="s">
        <v>27</v>
      </c>
      <c r="B20" s="21" t="s">
        <v>28</v>
      </c>
      <c r="C20" s="44"/>
      <c r="D20" s="22"/>
      <c r="E20" s="63"/>
      <c r="F20" s="64"/>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35"/>
      <c r="B21" s="51" t="s">
        <v>18</v>
      </c>
      <c r="C21" s="45"/>
      <c r="D21" s="23"/>
      <c r="E21" s="65">
        <f ca="1">E9+15</f>
        <v>46093</v>
      </c>
      <c r="F21" s="65">
        <f ca="1">E21+5</f>
        <v>46098</v>
      </c>
      <c r="G21" s="14"/>
      <c r="H21" s="14">
        <f t="shared" ca="1" si="6"/>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35"/>
      <c r="B22" s="51" t="s">
        <v>21</v>
      </c>
      <c r="C22" s="45"/>
      <c r="D22" s="23"/>
      <c r="E22" s="65">
        <f ca="1">F21+1</f>
        <v>46099</v>
      </c>
      <c r="F22" s="65">
        <f ca="1">E22+4</f>
        <v>46103</v>
      </c>
      <c r="G22" s="14"/>
      <c r="H22" s="14">
        <f t="shared" ca="1" si="6"/>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35"/>
      <c r="B23" s="51" t="s">
        <v>22</v>
      </c>
      <c r="C23" s="45"/>
      <c r="D23" s="23"/>
      <c r="E23" s="65">
        <f ca="1">E22+5</f>
        <v>46104</v>
      </c>
      <c r="F23" s="65">
        <f ca="1">E23+5</f>
        <v>46109</v>
      </c>
      <c r="G23" s="14"/>
      <c r="H23" s="14">
        <f t="shared" ca="1" si="6"/>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
      <c r="A24" s="35"/>
      <c r="B24" s="51" t="s">
        <v>23</v>
      </c>
      <c r="C24" s="45"/>
      <c r="D24" s="23"/>
      <c r="E24" s="65">
        <f ca="1">F23+1</f>
        <v>46110</v>
      </c>
      <c r="F24" s="65">
        <f ca="1">E24+4</f>
        <v>46114</v>
      </c>
      <c r="G24" s="14"/>
      <c r="H24" s="14">
        <f t="shared" ca="1" si="6"/>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
      <c r="A25" s="35"/>
      <c r="B25" s="51" t="s">
        <v>24</v>
      </c>
      <c r="C25" s="45"/>
      <c r="D25" s="23"/>
      <c r="E25" s="65">
        <f ca="1">E23</f>
        <v>46104</v>
      </c>
      <c r="F25" s="65">
        <f ca="1">E25+4</f>
        <v>46108</v>
      </c>
      <c r="G25" s="14"/>
      <c r="H25" s="14">
        <f t="shared" ca="1" si="6"/>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
      <c r="A26" s="35" t="s">
        <v>27</v>
      </c>
      <c r="B26" s="24" t="s">
        <v>29</v>
      </c>
      <c r="C26" s="46"/>
      <c r="D26" s="25"/>
      <c r="E26" s="66"/>
      <c r="F26" s="67"/>
      <c r="G26" s="14"/>
      <c r="H26" s="14" t="str">
        <f t="shared"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
      <c r="A27" s="35"/>
      <c r="B27" s="52" t="s">
        <v>18</v>
      </c>
      <c r="C27" s="47"/>
      <c r="D27" s="26"/>
      <c r="E27" s="68" t="s">
        <v>30</v>
      </c>
      <c r="F27" s="68" t="s">
        <v>30</v>
      </c>
      <c r="G27" s="14"/>
      <c r="H27" s="14" t="e">
        <f t="shared" si="6"/>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
      <c r="A28" s="35"/>
      <c r="B28" s="52" t="s">
        <v>21</v>
      </c>
      <c r="C28" s="47"/>
      <c r="D28" s="26"/>
      <c r="E28" s="68" t="s">
        <v>30</v>
      </c>
      <c r="F28" s="68" t="s">
        <v>30</v>
      </c>
      <c r="G28" s="14"/>
      <c r="H28" s="14" t="e">
        <f t="shared" si="6"/>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
      <c r="A29" s="35"/>
      <c r="B29" s="52" t="s">
        <v>22</v>
      </c>
      <c r="C29" s="47"/>
      <c r="D29" s="26"/>
      <c r="E29" s="68" t="s">
        <v>30</v>
      </c>
      <c r="F29" s="68" t="s">
        <v>30</v>
      </c>
      <c r="G29" s="14"/>
      <c r="H29" s="14" t="e">
        <f t="shared" si="6"/>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
      <c r="A30" s="35"/>
      <c r="B30" s="52" t="s">
        <v>23</v>
      </c>
      <c r="C30" s="47"/>
      <c r="D30" s="26"/>
      <c r="E30" s="68" t="s">
        <v>30</v>
      </c>
      <c r="F30" s="68" t="s">
        <v>30</v>
      </c>
      <c r="G30" s="14"/>
      <c r="H30" s="14" t="e">
        <f t="shared" si="6"/>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
      <c r="A31" s="35"/>
      <c r="B31" s="52" t="s">
        <v>24</v>
      </c>
      <c r="C31" s="47"/>
      <c r="D31" s="26"/>
      <c r="E31" s="68" t="s">
        <v>30</v>
      </c>
      <c r="F31" s="68" t="s">
        <v>30</v>
      </c>
      <c r="G31" s="14"/>
      <c r="H31" s="14" t="e">
        <f t="shared" si="6"/>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
      <c r="A32" s="35" t="s">
        <v>31</v>
      </c>
      <c r="B32" s="53"/>
      <c r="C32" s="48"/>
      <c r="D32" s="13"/>
      <c r="E32" s="69"/>
      <c r="F32" s="69"/>
      <c r="G32" s="14"/>
      <c r="H32" s="14" t="str">
        <f t="shared"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
      <c r="A33" s="36" t="s">
        <v>32</v>
      </c>
      <c r="B33" s="27" t="s">
        <v>33</v>
      </c>
      <c r="C33" s="28"/>
      <c r="D33" s="29"/>
      <c r="E33" s="70"/>
      <c r="F33" s="71"/>
      <c r="G33" s="30"/>
      <c r="H33" s="30" t="str">
        <f t="shared"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25">
      <c r="G34" s="6"/>
    </row>
    <row r="35" spans="1:64" ht="30" customHeight="1" x14ac:dyDescent="0.25">
      <c r="C35" s="11"/>
      <c r="F35" s="37"/>
    </row>
    <row r="36" spans="1:64" ht="30" customHeight="1" x14ac:dyDescent="0.25">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AND(início_da_tarefa&lt;=I$5,ROUNDDOWN((término_da_tarefa-início_da_tarefa+1)*progresso_da_tarefa,0)+início_da_tarefa-1&gt;=I$5)</formula>
    </cfRule>
    <cfRule type="expression" dxfId="0"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ignoredErrors>
    <ignoredError sqref="F18 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2.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2026-02-25T23:22:21Z</dcterms:created>
  <dcterms:modified xsi:type="dcterms:W3CDTF">2026-02-25T23:51:14Z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