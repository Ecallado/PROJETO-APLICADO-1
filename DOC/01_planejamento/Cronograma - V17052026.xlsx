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1AD37659-3608-45FD-9924-18D50F2BC37B}"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6" i="11" l="1"/>
  <c r="CO5" i="11"/>
  <c r="CP5" i="11" s="1"/>
  <c r="CO4" i="11"/>
  <c r="CH6" i="11"/>
  <c r="CH5" i="11"/>
  <c r="CI5" i="11" s="1"/>
  <c r="CH4" i="11"/>
  <c r="CA6" i="11"/>
  <c r="CA5" i="11"/>
  <c r="CB5" i="11" s="1"/>
  <c r="CA4" i="11"/>
  <c r="BT6" i="11"/>
  <c r="BT5" i="11"/>
  <c r="BU5" i="11" s="1"/>
  <c r="BT4" i="11"/>
  <c r="BM6" i="11"/>
  <c r="BM5" i="11"/>
  <c r="BN5" i="11" s="1"/>
  <c r="BM4" i="11"/>
  <c r="BF4" i="11"/>
  <c r="E24" i="11"/>
  <c r="F28" i="11"/>
  <c r="E18" i="11"/>
  <c r="F22" i="11"/>
  <c r="E8" i="11"/>
  <c r="E9" i="11"/>
  <c r="H7" i="11"/>
  <c r="CQ5" i="11" l="1"/>
  <c r="CP6" i="11"/>
  <c r="CJ5" i="11"/>
  <c r="CI6" i="11"/>
  <c r="CC5" i="11"/>
  <c r="CB6" i="11"/>
  <c r="BV5" i="11"/>
  <c r="BU6" i="11"/>
  <c r="BO5" i="11"/>
  <c r="BN6" i="11"/>
  <c r="F9" i="11"/>
  <c r="I5" i="11"/>
  <c r="H36" i="11"/>
  <c r="H35" i="11"/>
  <c r="H34" i="11"/>
  <c r="H33" i="11"/>
  <c r="H32" i="11"/>
  <c r="H31" i="11"/>
  <c r="H29" i="11"/>
  <c r="H23" i="11"/>
  <c r="H17" i="11"/>
  <c r="H8" i="11"/>
  <c r="CR5" i="11" l="1"/>
  <c r="CQ6" i="11"/>
  <c r="CK5" i="11"/>
  <c r="CJ6" i="11"/>
  <c r="CD5" i="11"/>
  <c r="CC6" i="11"/>
  <c r="BW5" i="11"/>
  <c r="BV6" i="11"/>
  <c r="BP5" i="11"/>
  <c r="BO6" i="11"/>
  <c r="I6" i="11"/>
  <c r="CS5" i="11" l="1"/>
  <c r="CR6" i="11"/>
  <c r="CL5" i="11"/>
  <c r="CK6" i="11"/>
  <c r="CE5" i="11"/>
  <c r="CD6" i="11"/>
  <c r="BX5" i="11"/>
  <c r="BW6" i="11"/>
  <c r="BQ5" i="11"/>
  <c r="BP6" i="11"/>
  <c r="H30" i="11"/>
  <c r="J5" i="11"/>
  <c r="K5" i="11" s="1"/>
  <c r="L5" i="11" s="1"/>
  <c r="M5" i="11" s="1"/>
  <c r="N5" i="11" s="1"/>
  <c r="O5" i="11" s="1"/>
  <c r="P5" i="11" s="1"/>
  <c r="I4" i="11"/>
  <c r="CT5" i="11" l="1"/>
  <c r="CS6" i="11"/>
  <c r="CM5" i="11"/>
  <c r="CL6" i="11"/>
  <c r="CE6" i="11"/>
  <c r="CF5" i="11"/>
  <c r="BY5" i="11"/>
  <c r="BX6" i="11"/>
  <c r="BR5" i="11"/>
  <c r="BQ6" i="11"/>
  <c r="P4" i="11"/>
  <c r="Q5" i="11"/>
  <c r="R5" i="11" s="1"/>
  <c r="S5" i="11" s="1"/>
  <c r="T5" i="11" s="1"/>
  <c r="U5" i="11" s="1"/>
  <c r="V5" i="11" s="1"/>
  <c r="W5" i="11" s="1"/>
  <c r="J6" i="11"/>
  <c r="CT6" i="11" l="1"/>
  <c r="CU5" i="11"/>
  <c r="CU6" i="11" s="1"/>
  <c r="CM6" i="11"/>
  <c r="CN5" i="11"/>
  <c r="CN6" i="11" s="1"/>
  <c r="CF6" i="11"/>
  <c r="CG5" i="11"/>
  <c r="CG6" i="11" s="1"/>
  <c r="BY6" i="11"/>
  <c r="BZ5" i="11"/>
  <c r="BZ6" i="11" s="1"/>
  <c r="BR6" i="11"/>
  <c r="BS5" i="11"/>
  <c r="BS6"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24" i="11"/>
  <c r="H9" i="11"/>
  <c r="E10" i="11"/>
  <c r="F10" i="11" l="1"/>
  <c r="H18" i="11"/>
  <c r="H24" i="11"/>
  <c r="H25" i="11"/>
  <c r="H16" i="11"/>
  <c r="H10" i="11" l="1"/>
  <c r="F19" i="11"/>
  <c r="H15" i="11"/>
  <c r="H26" i="11"/>
  <c r="H11" i="11"/>
  <c r="H28" i="11" l="1"/>
  <c r="H27" i="11"/>
  <c r="H20" i="11"/>
  <c r="H19" i="11"/>
  <c r="H21" i="11" l="1"/>
  <c r="H22" i="11" l="1"/>
</calcChain>
</file>

<file path=xl/sharedStrings.xml><?xml version="1.0" encoding="utf-8"?>
<sst xmlns="http://schemas.openxmlformats.org/spreadsheetml/2006/main" count="79" uniqueCount="60">
  <si>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</si>
  <si>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</si>
  <si>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</si>
  <si>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</si>
  <si>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</si>
  <si>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</si>
  <si>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</si>
  <si>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</si>
  <si>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</si>
  <si>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</si>
  <si>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</si>
  <si>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</si>
  <si>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</si>
  <si>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</si>
  <si>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</si>
  <si>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</si>
  <si>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</si>
  <si>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</si>
  <si>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</si>
  <si>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</si>
  <si>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</si>
  <si>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</si>
  <si>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</si>
  <si>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</si>
  <si>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</si>
  <si>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</si>
  <si>
    <t>Formar grupo de 4 pessoas</t>
  </si>
  <si>
    <t>Criar cronograma do projeto</t>
  </si>
  <si>
    <t>Buscar dataset</t>
  </si>
  <si>
    <t>Geral</t>
  </si>
  <si>
    <t>Jaqueline</t>
  </si>
  <si>
    <t>Entregar PDF Etapa 1</t>
  </si>
  <si>
    <t xml:space="preserve">Escrever </t>
  </si>
  <si>
    <t>Detalhamento empresa</t>
  </si>
  <si>
    <t>Contexto do estudo</t>
  </si>
  <si>
    <t>Apresentação (metadados)</t>
  </si>
  <si>
    <t>Eduardo</t>
  </si>
  <si>
    <t>Kevin</t>
  </si>
  <si>
    <t>Criar diretório no GitHub</t>
  </si>
  <si>
    <t>Lucas</t>
  </si>
  <si>
    <t>Etapa 1</t>
  </si>
  <si>
    <t>Etapa 2</t>
  </si>
  <si>
    <t>Etapa 3</t>
  </si>
  <si>
    <t>Etapa 4</t>
  </si>
  <si>
    <t>Aprofundar o objetivo apresentado na primeira etapa</t>
  </si>
  <si>
    <t xml:space="preserve">Definir pipeline do projeto </t>
  </si>
  <si>
    <t>Definir produtos que serão apresentados na quarta etapa</t>
  </si>
  <si>
    <t>Aplicar técnicas de estatística descritiva</t>
  </si>
  <si>
    <t>Entregar PDF Etapa 2</t>
  </si>
  <si>
    <t>-</t>
  </si>
  <si>
    <t>Roteiro da narrativa</t>
  </si>
  <si>
    <t>Scripts da análise exploratória</t>
  </si>
  <si>
    <t>Entregar PDF Etapa 3</t>
  </si>
  <si>
    <t>Gráficos para detalhamento da amostra</t>
  </si>
  <si>
    <t>Apresentação das váriaveis</t>
  </si>
  <si>
    <t>Entrega documento final Etapa 4</t>
  </si>
  <si>
    <t>Edição do vídeo</t>
  </si>
  <si>
    <t>Gravação do vídeo</t>
  </si>
  <si>
    <t>Publicação do vídeo</t>
  </si>
  <si>
    <t>Revisão do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</si>
</sst>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6" fillId="0" borderId="0" xfId="7" applyFont="1">
      <alignment vertical="top"/>
    </xf>
    <xf numFmtId="0" fontId="31" fillId="45" borderId="0" xfId="6" applyFont="1" applyFill="1" applyAlignment="1">
      <alignment horizontal="center"/>
    </xf>
    <xf numFmtId="0" fontId="9" fillId="4" borderId="2" xfId="11" quotePrefix="1" applyFill="1">
      <alignment horizontal="center" vertical="center"/>
    </xf>
    <xf numFmtId="0" fontId="9" fillId="11" borderId="2" xfId="11" quotePrefix="1" applyFill="1">
      <alignment horizontal="center" vertical="center"/>
    </xf>
    <xf numFmtId="0" fontId="9" fillId="5" borderId="2" xfId="11" quotePrefix="1" applyFill="1">
      <alignment horizontal="center" vertical="center"/>
    </xf>
    <xf numFmtId="0" fontId="9" fillId="10" borderId="2" xfId="11" quotePrefix="1" applyFill="1">
      <alignment horizontal="center" vertical="center"/>
    </xf>
    <xf numFmtId="0" fontId="9" fillId="0" borderId="0" xfId="8">
      <alignment horizontal="right" indent="1"/>
    </xf>
    <xf numFmtId="0" fontId="9" fillId="0" borderId="7" xfId="8" applyBorder="1">
      <alignment horizontal="right"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9"/>
  <sheetViews>
    <sheetView showGridLines="0" tabSelected="1" showRuler="0" zoomScale="40" zoomScaleNormal="40" zoomScalePageLayoutView="70" workbookViewId="0">
      <pane ySplit="6" topLeftCell="A8" activePane="bottomLeft" state="frozen"/>
      <selection pane="bottomLeft" activeCell="DE23" sqref="DE23"/>
    </sheetView>
  </sheetViews>
  <sheetFormatPr defaultRowHeight="30" customHeight="1" x14ac:dyDescent="0.3"/>
  <cols>
    <col min="1" max="1" width="2.6640625" style="35" customWidth="1"/>
    <col min="2" max="2" width="21.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99" width="2.5546875" customWidth="1"/>
  </cols>
  <sheetData>
    <row r="1" spans="1:99" ht="30" customHeight="1" x14ac:dyDescent="0.55000000000000004">
      <c r="A1" s="36" t="s">
        <v>0</v>
      </c>
      <c r="B1" s="39" t="s">
        <v>25</v>
      </c>
      <c r="C1" s="1"/>
      <c r="D1" s="2"/>
      <c r="E1" s="4"/>
      <c r="F1" s="34"/>
      <c r="H1" s="2"/>
      <c r="I1" s="51"/>
    </row>
    <row r="2" spans="1:99" ht="30" customHeight="1" x14ac:dyDescent="0.35">
      <c r="A2" s="35" t="s">
        <v>1</v>
      </c>
      <c r="B2" s="72" t="s">
        <v>24</v>
      </c>
      <c r="I2" s="52"/>
    </row>
    <row r="3" spans="1:99" ht="30" customHeight="1" x14ac:dyDescent="0.3">
      <c r="A3" s="35" t="s">
        <v>2</v>
      </c>
      <c r="B3" s="71" t="s">
        <v>23</v>
      </c>
      <c r="C3" s="77" t="s">
        <v>3</v>
      </c>
      <c r="D3" s="78"/>
      <c r="E3" s="82">
        <v>46083</v>
      </c>
      <c r="F3" s="82"/>
    </row>
    <row r="4" spans="1:99" ht="30" customHeight="1" x14ac:dyDescent="0.3">
      <c r="A4" s="36" t="s">
        <v>4</v>
      </c>
      <c r="C4" s="77" t="s">
        <v>5</v>
      </c>
      <c r="D4" s="78"/>
      <c r="E4" s="7">
        <v>1</v>
      </c>
      <c r="I4" s="79">
        <f>I5</f>
        <v>46083</v>
      </c>
      <c r="J4" s="80"/>
      <c r="K4" s="80"/>
      <c r="L4" s="80"/>
      <c r="M4" s="80"/>
      <c r="N4" s="80"/>
      <c r="O4" s="81"/>
      <c r="P4" s="79">
        <f>P5</f>
        <v>46090</v>
      </c>
      <c r="Q4" s="80"/>
      <c r="R4" s="80"/>
      <c r="S4" s="80"/>
      <c r="T4" s="80"/>
      <c r="U4" s="80"/>
      <c r="V4" s="81"/>
      <c r="W4" s="79">
        <f>W5</f>
        <v>46097</v>
      </c>
      <c r="X4" s="80"/>
      <c r="Y4" s="80"/>
      <c r="Z4" s="80"/>
      <c r="AA4" s="80"/>
      <c r="AB4" s="80"/>
      <c r="AC4" s="81"/>
      <c r="AD4" s="79">
        <f>AD5</f>
        <v>46104</v>
      </c>
      <c r="AE4" s="80"/>
      <c r="AF4" s="80"/>
      <c r="AG4" s="80"/>
      <c r="AH4" s="80"/>
      <c r="AI4" s="80"/>
      <c r="AJ4" s="81"/>
      <c r="AK4" s="79">
        <f>AK5</f>
        <v>46111</v>
      </c>
      <c r="AL4" s="80"/>
      <c r="AM4" s="80"/>
      <c r="AN4" s="80"/>
      <c r="AO4" s="80"/>
      <c r="AP4" s="80"/>
      <c r="AQ4" s="81"/>
      <c r="AR4" s="79">
        <f>AR5</f>
        <v>46118</v>
      </c>
      <c r="AS4" s="80"/>
      <c r="AT4" s="80"/>
      <c r="AU4" s="80"/>
      <c r="AV4" s="80"/>
      <c r="AW4" s="80"/>
      <c r="AX4" s="81"/>
      <c r="AY4" s="79">
        <f>AY5</f>
        <v>46125</v>
      </c>
      <c r="AZ4" s="80"/>
      <c r="BA4" s="80"/>
      <c r="BB4" s="80"/>
      <c r="BC4" s="80"/>
      <c r="BD4" s="80"/>
      <c r="BE4" s="81"/>
      <c r="BF4" s="79">
        <f>BF5</f>
        <v>46132</v>
      </c>
      <c r="BG4" s="80"/>
      <c r="BH4" s="80"/>
      <c r="BI4" s="80"/>
      <c r="BJ4" s="80"/>
      <c r="BK4" s="80"/>
      <c r="BL4" s="81"/>
      <c r="BM4" s="79">
        <f>BM5</f>
        <v>46139</v>
      </c>
      <c r="BN4" s="80"/>
      <c r="BO4" s="80"/>
      <c r="BP4" s="80"/>
      <c r="BQ4" s="80"/>
      <c r="BR4" s="80"/>
      <c r="BS4" s="81"/>
      <c r="BT4" s="79">
        <f>BT5</f>
        <v>46146</v>
      </c>
      <c r="BU4" s="80"/>
      <c r="BV4" s="80"/>
      <c r="BW4" s="80"/>
      <c r="BX4" s="80"/>
      <c r="BY4" s="80"/>
      <c r="BZ4" s="81"/>
      <c r="CA4" s="79">
        <f>CA5</f>
        <v>46153</v>
      </c>
      <c r="CB4" s="80"/>
      <c r="CC4" s="80"/>
      <c r="CD4" s="80"/>
      <c r="CE4" s="80"/>
      <c r="CF4" s="80"/>
      <c r="CG4" s="81"/>
      <c r="CH4" s="79">
        <f>CH5</f>
        <v>46160</v>
      </c>
      <c r="CI4" s="80"/>
      <c r="CJ4" s="80"/>
      <c r="CK4" s="80"/>
      <c r="CL4" s="80"/>
      <c r="CM4" s="80"/>
      <c r="CN4" s="81"/>
      <c r="CO4" s="79">
        <f>CO5</f>
        <v>46167</v>
      </c>
      <c r="CP4" s="80"/>
      <c r="CQ4" s="80"/>
      <c r="CR4" s="80"/>
      <c r="CS4" s="80"/>
      <c r="CT4" s="80"/>
      <c r="CU4" s="81"/>
    </row>
    <row r="5" spans="1:99" ht="15" customHeight="1" x14ac:dyDescent="0.3">
      <c r="A5" s="36" t="s">
        <v>6</v>
      </c>
      <c r="B5" s="50"/>
      <c r="C5" s="50"/>
      <c r="D5" s="50"/>
      <c r="E5" s="50"/>
      <c r="F5" s="50"/>
      <c r="G5" s="50"/>
      <c r="I5" s="68">
        <f>Início_do_projeto-WEEKDAY(Início_do_projeto,1)+2+7*(Semana_de_exibição-1)</f>
        <v>46083</v>
      </c>
      <c r="J5" s="69">
        <f>I5+1</f>
        <v>46084</v>
      </c>
      <c r="K5" s="69">
        <f t="shared" ref="K5:AX5" si="0">J5+1</f>
        <v>46085</v>
      </c>
      <c r="L5" s="69">
        <f t="shared" si="0"/>
        <v>46086</v>
      </c>
      <c r="M5" s="69">
        <f t="shared" si="0"/>
        <v>46087</v>
      </c>
      <c r="N5" s="69">
        <f t="shared" si="0"/>
        <v>46088</v>
      </c>
      <c r="O5" s="70">
        <f t="shared" si="0"/>
        <v>46089</v>
      </c>
      <c r="P5" s="68">
        <f>O5+1</f>
        <v>46090</v>
      </c>
      <c r="Q5" s="69">
        <f>P5+1</f>
        <v>46091</v>
      </c>
      <c r="R5" s="69">
        <f t="shared" si="0"/>
        <v>46092</v>
      </c>
      <c r="S5" s="69">
        <f t="shared" si="0"/>
        <v>46093</v>
      </c>
      <c r="T5" s="69">
        <f t="shared" si="0"/>
        <v>46094</v>
      </c>
      <c r="U5" s="69">
        <f t="shared" si="0"/>
        <v>46095</v>
      </c>
      <c r="V5" s="70">
        <f t="shared" si="0"/>
        <v>46096</v>
      </c>
      <c r="W5" s="68">
        <f>V5+1</f>
        <v>46097</v>
      </c>
      <c r="X5" s="69">
        <f>W5+1</f>
        <v>46098</v>
      </c>
      <c r="Y5" s="69">
        <f t="shared" si="0"/>
        <v>46099</v>
      </c>
      <c r="Z5" s="69">
        <f t="shared" si="0"/>
        <v>46100</v>
      </c>
      <c r="AA5" s="69">
        <f t="shared" si="0"/>
        <v>46101</v>
      </c>
      <c r="AB5" s="69">
        <f t="shared" si="0"/>
        <v>46102</v>
      </c>
      <c r="AC5" s="70">
        <f t="shared" si="0"/>
        <v>46103</v>
      </c>
      <c r="AD5" s="68">
        <f>AC5+1</f>
        <v>46104</v>
      </c>
      <c r="AE5" s="69">
        <f>AD5+1</f>
        <v>46105</v>
      </c>
      <c r="AF5" s="69">
        <f t="shared" si="0"/>
        <v>46106</v>
      </c>
      <c r="AG5" s="69">
        <f t="shared" si="0"/>
        <v>46107</v>
      </c>
      <c r="AH5" s="69">
        <f t="shared" si="0"/>
        <v>46108</v>
      </c>
      <c r="AI5" s="69">
        <f t="shared" si="0"/>
        <v>46109</v>
      </c>
      <c r="AJ5" s="70">
        <f t="shared" si="0"/>
        <v>46110</v>
      </c>
      <c r="AK5" s="68">
        <f>AJ5+1</f>
        <v>46111</v>
      </c>
      <c r="AL5" s="69">
        <f>AK5+1</f>
        <v>46112</v>
      </c>
      <c r="AM5" s="69">
        <f t="shared" si="0"/>
        <v>46113</v>
      </c>
      <c r="AN5" s="69">
        <f t="shared" si="0"/>
        <v>46114</v>
      </c>
      <c r="AO5" s="69">
        <f t="shared" si="0"/>
        <v>46115</v>
      </c>
      <c r="AP5" s="69">
        <f t="shared" si="0"/>
        <v>46116</v>
      </c>
      <c r="AQ5" s="70">
        <f t="shared" si="0"/>
        <v>46117</v>
      </c>
      <c r="AR5" s="68">
        <f>AQ5+1</f>
        <v>46118</v>
      </c>
      <c r="AS5" s="69">
        <f>AR5+1</f>
        <v>46119</v>
      </c>
      <c r="AT5" s="69">
        <f t="shared" si="0"/>
        <v>46120</v>
      </c>
      <c r="AU5" s="69">
        <f t="shared" si="0"/>
        <v>46121</v>
      </c>
      <c r="AV5" s="69">
        <f t="shared" si="0"/>
        <v>46122</v>
      </c>
      <c r="AW5" s="69">
        <f t="shared" si="0"/>
        <v>46123</v>
      </c>
      <c r="AX5" s="70">
        <f t="shared" si="0"/>
        <v>46124</v>
      </c>
      <c r="AY5" s="68">
        <f>AX5+1</f>
        <v>46125</v>
      </c>
      <c r="AZ5" s="69">
        <f>AY5+1</f>
        <v>46126</v>
      </c>
      <c r="BA5" s="69">
        <f t="shared" ref="BA5:BE5" si="1">AZ5+1</f>
        <v>46127</v>
      </c>
      <c r="BB5" s="69">
        <f t="shared" si="1"/>
        <v>46128</v>
      </c>
      <c r="BC5" s="69">
        <f t="shared" si="1"/>
        <v>46129</v>
      </c>
      <c r="BD5" s="69">
        <f t="shared" si="1"/>
        <v>46130</v>
      </c>
      <c r="BE5" s="70">
        <f t="shared" si="1"/>
        <v>46131</v>
      </c>
      <c r="BF5" s="68">
        <f>BE5+1</f>
        <v>46132</v>
      </c>
      <c r="BG5" s="69">
        <f>BF5+1</f>
        <v>46133</v>
      </c>
      <c r="BH5" s="69">
        <f t="shared" ref="BH5:BL5" si="2">BG5+1</f>
        <v>46134</v>
      </c>
      <c r="BI5" s="69">
        <f t="shared" si="2"/>
        <v>46135</v>
      </c>
      <c r="BJ5" s="69">
        <f t="shared" si="2"/>
        <v>46136</v>
      </c>
      <c r="BK5" s="69">
        <f t="shared" si="2"/>
        <v>46137</v>
      </c>
      <c r="BL5" s="70">
        <f t="shared" si="2"/>
        <v>46138</v>
      </c>
      <c r="BM5" s="68">
        <f>BL5+1</f>
        <v>46139</v>
      </c>
      <c r="BN5" s="69">
        <f>BM5+1</f>
        <v>46140</v>
      </c>
      <c r="BO5" s="69">
        <f t="shared" ref="BO5" si="3">BN5+1</f>
        <v>46141</v>
      </c>
      <c r="BP5" s="69">
        <f t="shared" ref="BP5" si="4">BO5+1</f>
        <v>46142</v>
      </c>
      <c r="BQ5" s="69">
        <f t="shared" ref="BQ5" si="5">BP5+1</f>
        <v>46143</v>
      </c>
      <c r="BR5" s="69">
        <f t="shared" ref="BR5" si="6">BQ5+1</f>
        <v>46144</v>
      </c>
      <c r="BS5" s="70">
        <f t="shared" ref="BS5" si="7">BR5+1</f>
        <v>46145</v>
      </c>
      <c r="BT5" s="68">
        <f>BS5+1</f>
        <v>46146</v>
      </c>
      <c r="BU5" s="69">
        <f>BT5+1</f>
        <v>46147</v>
      </c>
      <c r="BV5" s="69">
        <f t="shared" ref="BV5" si="8">BU5+1</f>
        <v>46148</v>
      </c>
      <c r="BW5" s="69">
        <f t="shared" ref="BW5" si="9">BV5+1</f>
        <v>46149</v>
      </c>
      <c r="BX5" s="69">
        <f t="shared" ref="BX5" si="10">BW5+1</f>
        <v>46150</v>
      </c>
      <c r="BY5" s="69">
        <f t="shared" ref="BY5" si="11">BX5+1</f>
        <v>46151</v>
      </c>
      <c r="BZ5" s="70">
        <f t="shared" ref="BZ5" si="12">BY5+1</f>
        <v>46152</v>
      </c>
      <c r="CA5" s="68">
        <f>BZ5+1</f>
        <v>46153</v>
      </c>
      <c r="CB5" s="69">
        <f>CA5+1</f>
        <v>46154</v>
      </c>
      <c r="CC5" s="69">
        <f t="shared" ref="CC5" si="13">CB5+1</f>
        <v>46155</v>
      </c>
      <c r="CD5" s="69">
        <f t="shared" ref="CD5" si="14">CC5+1</f>
        <v>46156</v>
      </c>
      <c r="CE5" s="69">
        <f t="shared" ref="CE5" si="15">CD5+1</f>
        <v>46157</v>
      </c>
      <c r="CF5" s="69">
        <f t="shared" ref="CF5" si="16">CE5+1</f>
        <v>46158</v>
      </c>
      <c r="CG5" s="70">
        <f t="shared" ref="CG5" si="17">CF5+1</f>
        <v>46159</v>
      </c>
      <c r="CH5" s="68">
        <f>CG5+1</f>
        <v>46160</v>
      </c>
      <c r="CI5" s="69">
        <f>CH5+1</f>
        <v>46161</v>
      </c>
      <c r="CJ5" s="69">
        <f t="shared" ref="CJ5" si="18">CI5+1</f>
        <v>46162</v>
      </c>
      <c r="CK5" s="69">
        <f t="shared" ref="CK5" si="19">CJ5+1</f>
        <v>46163</v>
      </c>
      <c r="CL5" s="69">
        <f t="shared" ref="CL5" si="20">CK5+1</f>
        <v>46164</v>
      </c>
      <c r="CM5" s="69">
        <f t="shared" ref="CM5" si="21">CL5+1</f>
        <v>46165</v>
      </c>
      <c r="CN5" s="70">
        <f t="shared" ref="CN5" si="22">CM5+1</f>
        <v>46166</v>
      </c>
      <c r="CO5" s="68">
        <f>CN5+1</f>
        <v>46167</v>
      </c>
      <c r="CP5" s="69">
        <f>CO5+1</f>
        <v>46168</v>
      </c>
      <c r="CQ5" s="69">
        <f t="shared" ref="CQ5" si="23">CP5+1</f>
        <v>46169</v>
      </c>
      <c r="CR5" s="69">
        <f t="shared" ref="CR5" si="24">CQ5+1</f>
        <v>46170</v>
      </c>
      <c r="CS5" s="69">
        <f t="shared" ref="CS5" si="25">CR5+1</f>
        <v>46171</v>
      </c>
      <c r="CT5" s="69">
        <f t="shared" ref="CT5" si="26">CS5+1</f>
        <v>46172</v>
      </c>
      <c r="CU5" s="70">
        <f t="shared" ref="CU5" si="27">CT5+1</f>
        <v>46173</v>
      </c>
    </row>
    <row r="6" spans="1:99" ht="30" customHeight="1" thickBot="1" x14ac:dyDescent="0.35">
      <c r="A6" s="36" t="s">
        <v>7</v>
      </c>
      <c r="B6" s="8" t="s">
        <v>8</v>
      </c>
      <c r="C6" s="9" t="s">
        <v>9</v>
      </c>
      <c r="D6" s="9" t="s">
        <v>10</v>
      </c>
      <c r="E6" s="9" t="s">
        <v>11</v>
      </c>
      <c r="F6" s="9" t="s">
        <v>12</v>
      </c>
      <c r="G6" s="9"/>
      <c r="H6" s="9" t="s">
        <v>13</v>
      </c>
      <c r="I6" s="10" t="str">
        <f t="shared" ref="I6" si="28">LEFT(TEXT(I5,"ddd"),1)</f>
        <v>s</v>
      </c>
      <c r="J6" s="10" t="str">
        <f t="shared" ref="J6:AR6" si="29">LEFT(TEXT(J5,"ddd"),1)</f>
        <v>t</v>
      </c>
      <c r="K6" s="10" t="str">
        <f t="shared" si="29"/>
        <v>q</v>
      </c>
      <c r="L6" s="10" t="str">
        <f t="shared" si="29"/>
        <v>q</v>
      </c>
      <c r="M6" s="10" t="str">
        <f t="shared" si="29"/>
        <v>s</v>
      </c>
      <c r="N6" s="10" t="str">
        <f t="shared" si="29"/>
        <v>s</v>
      </c>
      <c r="O6" s="10" t="str">
        <f t="shared" si="29"/>
        <v>d</v>
      </c>
      <c r="P6" s="10" t="str">
        <f t="shared" si="29"/>
        <v>s</v>
      </c>
      <c r="Q6" s="10" t="str">
        <f t="shared" si="29"/>
        <v>t</v>
      </c>
      <c r="R6" s="10" t="str">
        <f t="shared" si="29"/>
        <v>q</v>
      </c>
      <c r="S6" s="10" t="str">
        <f t="shared" si="29"/>
        <v>q</v>
      </c>
      <c r="T6" s="10" t="str">
        <f t="shared" si="29"/>
        <v>s</v>
      </c>
      <c r="U6" s="10" t="str">
        <f t="shared" si="29"/>
        <v>s</v>
      </c>
      <c r="V6" s="10" t="str">
        <f t="shared" si="29"/>
        <v>d</v>
      </c>
      <c r="W6" s="10" t="str">
        <f t="shared" si="29"/>
        <v>s</v>
      </c>
      <c r="X6" s="10" t="str">
        <f t="shared" si="29"/>
        <v>t</v>
      </c>
      <c r="Y6" s="10" t="str">
        <f t="shared" si="29"/>
        <v>q</v>
      </c>
      <c r="Z6" s="10" t="str">
        <f t="shared" si="29"/>
        <v>q</v>
      </c>
      <c r="AA6" s="10" t="str">
        <f t="shared" si="29"/>
        <v>s</v>
      </c>
      <c r="AB6" s="10" t="str">
        <f t="shared" si="29"/>
        <v>s</v>
      </c>
      <c r="AC6" s="10" t="str">
        <f t="shared" si="29"/>
        <v>d</v>
      </c>
      <c r="AD6" s="10" t="str">
        <f t="shared" si="29"/>
        <v>s</v>
      </c>
      <c r="AE6" s="10" t="str">
        <f t="shared" si="29"/>
        <v>t</v>
      </c>
      <c r="AF6" s="10" t="str">
        <f t="shared" si="29"/>
        <v>q</v>
      </c>
      <c r="AG6" s="10" t="str">
        <f t="shared" si="29"/>
        <v>q</v>
      </c>
      <c r="AH6" s="10" t="str">
        <f t="shared" si="29"/>
        <v>s</v>
      </c>
      <c r="AI6" s="10" t="str">
        <f t="shared" si="29"/>
        <v>s</v>
      </c>
      <c r="AJ6" s="10" t="str">
        <f t="shared" si="29"/>
        <v>d</v>
      </c>
      <c r="AK6" s="10" t="str">
        <f t="shared" si="29"/>
        <v>s</v>
      </c>
      <c r="AL6" s="10" t="str">
        <f t="shared" si="29"/>
        <v>t</v>
      </c>
      <c r="AM6" s="10" t="str">
        <f t="shared" si="29"/>
        <v>q</v>
      </c>
      <c r="AN6" s="10" t="str">
        <f t="shared" si="29"/>
        <v>q</v>
      </c>
      <c r="AO6" s="10" t="str">
        <f t="shared" si="29"/>
        <v>s</v>
      </c>
      <c r="AP6" s="10" t="str">
        <f t="shared" si="29"/>
        <v>s</v>
      </c>
      <c r="AQ6" s="10" t="str">
        <f t="shared" si="29"/>
        <v>d</v>
      </c>
      <c r="AR6" s="10" t="str">
        <f t="shared" si="29"/>
        <v>s</v>
      </c>
      <c r="AS6" s="10" t="str">
        <f t="shared" ref="AS6:BL6" si="30">LEFT(TEXT(AS5,"ddd"),1)</f>
        <v>t</v>
      </c>
      <c r="AT6" s="10" t="str">
        <f t="shared" si="30"/>
        <v>q</v>
      </c>
      <c r="AU6" s="10" t="str">
        <f t="shared" si="30"/>
        <v>q</v>
      </c>
      <c r="AV6" s="10" t="str">
        <f t="shared" si="30"/>
        <v>s</v>
      </c>
      <c r="AW6" s="10" t="str">
        <f t="shared" si="30"/>
        <v>s</v>
      </c>
      <c r="AX6" s="10" t="str">
        <f t="shared" si="30"/>
        <v>d</v>
      </c>
      <c r="AY6" s="10" t="str">
        <f t="shared" si="30"/>
        <v>s</v>
      </c>
      <c r="AZ6" s="10" t="str">
        <f t="shared" si="30"/>
        <v>t</v>
      </c>
      <c r="BA6" s="10" t="str">
        <f t="shared" si="30"/>
        <v>q</v>
      </c>
      <c r="BB6" s="10" t="str">
        <f t="shared" si="30"/>
        <v>q</v>
      </c>
      <c r="BC6" s="10" t="str">
        <f t="shared" si="30"/>
        <v>s</v>
      </c>
      <c r="BD6" s="10" t="str">
        <f t="shared" si="30"/>
        <v>s</v>
      </c>
      <c r="BE6" s="10" t="str">
        <f t="shared" si="30"/>
        <v>d</v>
      </c>
      <c r="BF6" s="10" t="str">
        <f t="shared" si="30"/>
        <v>s</v>
      </c>
      <c r="BG6" s="10" t="str">
        <f t="shared" si="30"/>
        <v>t</v>
      </c>
      <c r="BH6" s="10" t="str">
        <f t="shared" si="30"/>
        <v>q</v>
      </c>
      <c r="BI6" s="10" t="str">
        <f t="shared" si="30"/>
        <v>q</v>
      </c>
      <c r="BJ6" s="10" t="str">
        <f t="shared" si="30"/>
        <v>s</v>
      </c>
      <c r="BK6" s="10" t="str">
        <f t="shared" si="30"/>
        <v>s</v>
      </c>
      <c r="BL6" s="10" t="str">
        <f t="shared" si="30"/>
        <v>d</v>
      </c>
      <c r="BM6" s="10" t="str">
        <f t="shared" ref="BM6:BZ6" si="31">LEFT(TEXT(BM5,"ddd"),1)</f>
        <v>s</v>
      </c>
      <c r="BN6" s="10" t="str">
        <f t="shared" si="31"/>
        <v>t</v>
      </c>
      <c r="BO6" s="10" t="str">
        <f t="shared" si="31"/>
        <v>q</v>
      </c>
      <c r="BP6" s="10" t="str">
        <f t="shared" si="31"/>
        <v>q</v>
      </c>
      <c r="BQ6" s="10" t="str">
        <f t="shared" si="31"/>
        <v>s</v>
      </c>
      <c r="BR6" s="10" t="str">
        <f t="shared" si="31"/>
        <v>s</v>
      </c>
      <c r="BS6" s="10" t="str">
        <f t="shared" si="31"/>
        <v>d</v>
      </c>
      <c r="BT6" s="10" t="str">
        <f t="shared" si="31"/>
        <v>s</v>
      </c>
      <c r="BU6" s="10" t="str">
        <f t="shared" si="31"/>
        <v>t</v>
      </c>
      <c r="BV6" s="10" t="str">
        <f t="shared" si="31"/>
        <v>q</v>
      </c>
      <c r="BW6" s="10" t="str">
        <f t="shared" si="31"/>
        <v>q</v>
      </c>
      <c r="BX6" s="10" t="str">
        <f t="shared" si="31"/>
        <v>s</v>
      </c>
      <c r="BY6" s="10" t="str">
        <f t="shared" si="31"/>
        <v>s</v>
      </c>
      <c r="BZ6" s="10" t="str">
        <f t="shared" si="31"/>
        <v>d</v>
      </c>
      <c r="CA6" s="10" t="str">
        <f t="shared" ref="CA6:CU6" si="32">LEFT(TEXT(CA5,"ddd"),1)</f>
        <v>s</v>
      </c>
      <c r="CB6" s="10" t="str">
        <f t="shared" si="32"/>
        <v>t</v>
      </c>
      <c r="CC6" s="10" t="str">
        <f t="shared" si="32"/>
        <v>q</v>
      </c>
      <c r="CD6" s="10" t="str">
        <f t="shared" si="32"/>
        <v>q</v>
      </c>
      <c r="CE6" s="10" t="str">
        <f t="shared" si="32"/>
        <v>s</v>
      </c>
      <c r="CF6" s="10" t="str">
        <f t="shared" si="32"/>
        <v>s</v>
      </c>
      <c r="CG6" s="10" t="str">
        <f t="shared" si="32"/>
        <v>d</v>
      </c>
      <c r="CH6" s="10" t="str">
        <f t="shared" si="32"/>
        <v>s</v>
      </c>
      <c r="CI6" s="10" t="str">
        <f t="shared" si="32"/>
        <v>t</v>
      </c>
      <c r="CJ6" s="10" t="str">
        <f t="shared" si="32"/>
        <v>q</v>
      </c>
      <c r="CK6" s="10" t="str">
        <f t="shared" si="32"/>
        <v>q</v>
      </c>
      <c r="CL6" s="10" t="str">
        <f t="shared" si="32"/>
        <v>s</v>
      </c>
      <c r="CM6" s="10" t="str">
        <f t="shared" si="32"/>
        <v>s</v>
      </c>
      <c r="CN6" s="10" t="str">
        <f t="shared" si="32"/>
        <v>d</v>
      </c>
      <c r="CO6" s="10" t="str">
        <f t="shared" si="32"/>
        <v>s</v>
      </c>
      <c r="CP6" s="10" t="str">
        <f t="shared" si="32"/>
        <v>t</v>
      </c>
      <c r="CQ6" s="10" t="str">
        <f t="shared" si="32"/>
        <v>q</v>
      </c>
      <c r="CR6" s="10" t="str">
        <f t="shared" si="32"/>
        <v>q</v>
      </c>
      <c r="CS6" s="10" t="str">
        <f t="shared" si="32"/>
        <v>s</v>
      </c>
      <c r="CT6" s="10" t="str">
        <f t="shared" si="32"/>
        <v>s</v>
      </c>
      <c r="CU6" s="10" t="str">
        <f t="shared" si="32"/>
        <v>d</v>
      </c>
    </row>
    <row r="7" spans="1:99" ht="30" hidden="1" customHeight="1" thickBot="1" x14ac:dyDescent="0.35">
      <c r="A7" s="35" t="s">
        <v>14</v>
      </c>
      <c r="C7" s="3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row>
    <row r="8" spans="1:99" s="3" customFormat="1" ht="30" customHeight="1" thickBot="1" x14ac:dyDescent="0.35">
      <c r="A8" s="36" t="s">
        <v>15</v>
      </c>
      <c r="B8" s="15" t="s">
        <v>40</v>
      </c>
      <c r="C8" s="40"/>
      <c r="D8" s="16">
        <v>1</v>
      </c>
      <c r="E8" s="53">
        <f>Início_do_projeto</f>
        <v>46083</v>
      </c>
      <c r="F8" s="54">
        <v>46103</v>
      </c>
      <c r="G8" s="14"/>
      <c r="H8" s="14">
        <f t="shared" ref="H8:H36" si="33">IF(OR(ISBLANK(início_da_tarefa),ISBLANK(término_da_tarefa)),"",término_da_tarefa-início_da_tarefa+1)</f>
        <v>21</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spans="1:99" s="3" customFormat="1" ht="30" customHeight="1" thickBot="1" x14ac:dyDescent="0.35">
      <c r="A9" s="36" t="s">
        <v>16</v>
      </c>
      <c r="B9" s="45" t="s">
        <v>26</v>
      </c>
      <c r="C9" s="41" t="s">
        <v>29</v>
      </c>
      <c r="D9" s="17">
        <v>1</v>
      </c>
      <c r="E9" s="55">
        <f>Início_do_projeto</f>
        <v>46083</v>
      </c>
      <c r="F9" s="55">
        <f>Início_do_projeto</f>
        <v>46083</v>
      </c>
      <c r="G9" s="14"/>
      <c r="H9" s="14">
        <f t="shared" si="33"/>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spans="1:99" s="3" customFormat="1" ht="30" customHeight="1" thickBot="1" x14ac:dyDescent="0.35">
      <c r="A10" s="36" t="s">
        <v>17</v>
      </c>
      <c r="B10" s="45" t="s">
        <v>27</v>
      </c>
      <c r="C10" s="41" t="s">
        <v>30</v>
      </c>
      <c r="D10" s="17">
        <v>1</v>
      </c>
      <c r="E10" s="55">
        <f>F9</f>
        <v>46083</v>
      </c>
      <c r="F10" s="55">
        <f>E10+2</f>
        <v>46085</v>
      </c>
      <c r="G10" s="14"/>
      <c r="H10" s="14">
        <f t="shared" si="33"/>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spans="1:99" s="3" customFormat="1" ht="30" customHeight="1" thickBot="1" x14ac:dyDescent="0.35">
      <c r="A11" s="35"/>
      <c r="B11" s="45" t="s">
        <v>38</v>
      </c>
      <c r="C11" s="41" t="s">
        <v>36</v>
      </c>
      <c r="D11" s="17">
        <v>1</v>
      </c>
      <c r="E11" s="55">
        <v>46083</v>
      </c>
      <c r="F11" s="55">
        <v>46097</v>
      </c>
      <c r="G11" s="14"/>
      <c r="H11" s="14">
        <f t="shared" si="33"/>
        <v>15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spans="1:99" s="3" customFormat="1" ht="30" customHeight="1" thickBot="1" x14ac:dyDescent="0.35">
      <c r="A12" s="35" t="s">
        <v>32</v>
      </c>
      <c r="B12" s="45" t="s">
        <v>28</v>
      </c>
      <c r="C12" s="41" t="s">
        <v>36</v>
      </c>
      <c r="D12" s="17">
        <v>1</v>
      </c>
      <c r="E12" s="55">
        <v>46083</v>
      </c>
      <c r="F12" s="55">
        <v>46097</v>
      </c>
      <c r="G12" s="14"/>
      <c r="H12" s="14"/>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spans="1:99" s="3" customFormat="1" ht="30" customHeight="1" thickBot="1" x14ac:dyDescent="0.35">
      <c r="A13" s="35"/>
      <c r="B13" s="45" t="s">
        <v>33</v>
      </c>
      <c r="C13" s="41" t="s">
        <v>30</v>
      </c>
      <c r="D13" s="17">
        <v>1</v>
      </c>
      <c r="E13" s="55">
        <v>46083</v>
      </c>
      <c r="F13" s="55">
        <v>46097</v>
      </c>
      <c r="G13" s="14"/>
      <c r="H13" s="14"/>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spans="1:99" s="3" customFormat="1" ht="30" customHeight="1" thickBot="1" x14ac:dyDescent="0.35">
      <c r="A14" s="35"/>
      <c r="B14" s="45" t="s">
        <v>34</v>
      </c>
      <c r="C14" s="41" t="s">
        <v>37</v>
      </c>
      <c r="D14" s="17">
        <v>1</v>
      </c>
      <c r="E14" s="55">
        <v>46083</v>
      </c>
      <c r="F14" s="55">
        <v>46097</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spans="1:99" s="3" customFormat="1" ht="30" customHeight="1" thickBot="1" x14ac:dyDescent="0.35">
      <c r="A15" s="35"/>
      <c r="B15" s="45" t="s">
        <v>35</v>
      </c>
      <c r="C15" s="41" t="s">
        <v>30</v>
      </c>
      <c r="D15" s="17">
        <v>1</v>
      </c>
      <c r="E15" s="55">
        <v>46097</v>
      </c>
      <c r="F15" s="55">
        <v>46103</v>
      </c>
      <c r="G15" s="14"/>
      <c r="H15" s="14">
        <f t="shared" si="33"/>
        <v>7</v>
      </c>
      <c r="I15" s="31"/>
      <c r="J15" s="31"/>
      <c r="K15" s="31"/>
      <c r="L15" s="31"/>
      <c r="M15" s="31"/>
      <c r="N15" s="31"/>
      <c r="O15" s="31"/>
      <c r="P15" s="31"/>
      <c r="Q15" s="31"/>
      <c r="R15" s="31"/>
      <c r="S15" s="31"/>
      <c r="T15" s="31"/>
      <c r="U15" s="31"/>
      <c r="V15" s="31"/>
      <c r="W15" s="31"/>
      <c r="X15" s="31"/>
      <c r="Y15" s="32"/>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spans="1:99" s="3" customFormat="1" ht="30" customHeight="1" thickBot="1" x14ac:dyDescent="0.35">
      <c r="A16" s="35"/>
      <c r="B16" s="45" t="s">
        <v>31</v>
      </c>
      <c r="C16" s="41" t="s">
        <v>39</v>
      </c>
      <c r="D16" s="17">
        <v>1</v>
      </c>
      <c r="E16" s="55">
        <v>46103</v>
      </c>
      <c r="F16" s="55">
        <v>46103</v>
      </c>
      <c r="G16" s="14"/>
      <c r="H16" s="14">
        <f t="shared" si="33"/>
        <v>1</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7" spans="1:99" s="3" customFormat="1" ht="30" customHeight="1" thickBot="1" x14ac:dyDescent="0.35">
      <c r="A17" s="36" t="s">
        <v>18</v>
      </c>
      <c r="B17" s="18" t="s">
        <v>41</v>
      </c>
      <c r="C17" s="42"/>
      <c r="D17" s="19">
        <v>1</v>
      </c>
      <c r="E17" s="56">
        <v>46104</v>
      </c>
      <c r="F17" s="57">
        <v>46124</v>
      </c>
      <c r="G17" s="14"/>
      <c r="H17" s="14">
        <f t="shared" si="33"/>
        <v>21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row>
    <row r="18" spans="1:99" s="3" customFormat="1" ht="30" customHeight="1" thickBot="1" x14ac:dyDescent="0.35">
      <c r="A18" s="36"/>
      <c r="B18" s="46" t="s">
        <v>44</v>
      </c>
      <c r="C18" s="73" t="s">
        <v>37</v>
      </c>
      <c r="D18" s="20">
        <v>1</v>
      </c>
      <c r="E18" s="58">
        <f>E17</f>
        <v>46104</v>
      </c>
      <c r="F18" s="58">
        <v>46109</v>
      </c>
      <c r="G18" s="14"/>
      <c r="H18" s="14">
        <f t="shared" si="33"/>
        <v>6</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row>
    <row r="19" spans="1:99" s="3" customFormat="1" ht="30" customHeight="1" thickBot="1" x14ac:dyDescent="0.35">
      <c r="A19" s="35"/>
      <c r="B19" s="46" t="s">
        <v>45</v>
      </c>
      <c r="C19" s="73" t="s">
        <v>39</v>
      </c>
      <c r="D19" s="20">
        <v>1</v>
      </c>
      <c r="E19" s="58">
        <v>46104</v>
      </c>
      <c r="F19" s="58">
        <f>E19+5</f>
        <v>46109</v>
      </c>
      <c r="G19" s="14"/>
      <c r="H19" s="14">
        <f t="shared" si="33"/>
        <v>6</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row>
    <row r="20" spans="1:99" s="3" customFormat="1" ht="30" customHeight="1" thickBot="1" x14ac:dyDescent="0.35">
      <c r="A20" s="35"/>
      <c r="B20" s="46" t="s">
        <v>46</v>
      </c>
      <c r="C20" s="73" t="s">
        <v>36</v>
      </c>
      <c r="D20" s="20">
        <v>1</v>
      </c>
      <c r="E20" s="58">
        <v>46110</v>
      </c>
      <c r="F20" s="58">
        <v>46117</v>
      </c>
      <c r="G20" s="14"/>
      <c r="H20" s="14">
        <f t="shared" si="33"/>
        <v>8</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row>
    <row r="21" spans="1:99" s="3" customFormat="1" ht="30" customHeight="1" thickBot="1" x14ac:dyDescent="0.35">
      <c r="A21" s="35"/>
      <c r="B21" s="46" t="s">
        <v>47</v>
      </c>
      <c r="C21" s="73" t="s">
        <v>39</v>
      </c>
      <c r="D21" s="20">
        <v>1</v>
      </c>
      <c r="E21" s="58">
        <v>46110</v>
      </c>
      <c r="F21" s="58">
        <v>46117</v>
      </c>
      <c r="G21" s="14"/>
      <c r="H21" s="14">
        <f t="shared" si="33"/>
        <v>8</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spans="1:99" s="3" customFormat="1" ht="30" customHeight="1" thickBot="1" x14ac:dyDescent="0.35">
      <c r="A22" s="35"/>
      <c r="B22" s="46" t="s">
        <v>48</v>
      </c>
      <c r="C22" s="73" t="s">
        <v>30</v>
      </c>
      <c r="D22" s="20">
        <v>1</v>
      </c>
      <c r="E22" s="58">
        <v>46118</v>
      </c>
      <c r="F22" s="58">
        <f>F17</f>
        <v>46124</v>
      </c>
      <c r="G22" s="14"/>
      <c r="H22" s="14">
        <f t="shared" si="33"/>
        <v>7</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row r="23" spans="1:99" s="3" customFormat="1" ht="30" customHeight="1" thickBot="1" x14ac:dyDescent="0.35">
      <c r="A23" s="35" t="s">
        <v>19</v>
      </c>
      <c r="B23" s="21" t="s">
        <v>42</v>
      </c>
      <c r="C23" s="43"/>
      <c r="D23" s="22">
        <v>1</v>
      </c>
      <c r="E23" s="59">
        <v>46125</v>
      </c>
      <c r="F23" s="60">
        <v>46159</v>
      </c>
      <c r="G23" s="14"/>
      <c r="H23" s="14">
        <f t="shared" si="33"/>
        <v>35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row>
    <row r="24" spans="1:99" s="3" customFormat="1" ht="30" customHeight="1" thickBot="1" x14ac:dyDescent="0.35">
      <c r="A24" s="35"/>
      <c r="B24" s="47" t="s">
        <v>50</v>
      </c>
      <c r="C24" s="74" t="s">
        <v>36</v>
      </c>
      <c r="D24" s="23">
        <v>1</v>
      </c>
      <c r="E24" s="61">
        <f>E23</f>
        <v>46125</v>
      </c>
      <c r="F24" s="61">
        <f>E24+5</f>
        <v>46130</v>
      </c>
      <c r="G24" s="14"/>
      <c r="H24" s="14">
        <f t="shared" si="33"/>
        <v>6</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row>
    <row r="25" spans="1:99" s="3" customFormat="1" ht="30" customHeight="1" thickBot="1" x14ac:dyDescent="0.35">
      <c r="A25" s="35"/>
      <c r="B25" s="47" t="s">
        <v>51</v>
      </c>
      <c r="C25" s="74" t="s">
        <v>39</v>
      </c>
      <c r="D25" s="23">
        <v>1</v>
      </c>
      <c r="E25" s="61">
        <v>46125</v>
      </c>
      <c r="F25" s="61">
        <v>46137</v>
      </c>
      <c r="G25" s="14"/>
      <c r="H25" s="14">
        <f t="shared" si="33"/>
        <v>13</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row>
    <row r="26" spans="1:99" s="3" customFormat="1" ht="30" customHeight="1" thickBot="1" x14ac:dyDescent="0.35">
      <c r="A26" s="35"/>
      <c r="B26" s="47" t="s">
        <v>54</v>
      </c>
      <c r="C26" s="74" t="s">
        <v>30</v>
      </c>
      <c r="D26" s="23">
        <v>1</v>
      </c>
      <c r="E26" s="61">
        <v>46134</v>
      </c>
      <c r="F26" s="61">
        <v>46141</v>
      </c>
      <c r="G26" s="14"/>
      <c r="H26" s="14">
        <f t="shared" si="33"/>
        <v>8</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row>
    <row r="27" spans="1:99" s="3" customFormat="1" ht="30" customHeight="1" thickBot="1" x14ac:dyDescent="0.35">
      <c r="A27" s="35"/>
      <c r="B27" s="47" t="s">
        <v>53</v>
      </c>
      <c r="C27" s="74" t="s">
        <v>36</v>
      </c>
      <c r="D27" s="23">
        <v>1</v>
      </c>
      <c r="E27" s="61">
        <v>46141</v>
      </c>
      <c r="F27" s="61">
        <v>46152</v>
      </c>
      <c r="G27" s="14"/>
      <c r="H27" s="14">
        <f t="shared" si="33"/>
        <v>12</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row>
    <row r="28" spans="1:99" s="3" customFormat="1" ht="30" customHeight="1" thickBot="1" x14ac:dyDescent="0.35">
      <c r="A28" s="35"/>
      <c r="B28" s="47" t="s">
        <v>52</v>
      </c>
      <c r="C28" s="74" t="s">
        <v>30</v>
      </c>
      <c r="D28" s="23">
        <v>1</v>
      </c>
      <c r="E28" s="61">
        <v>46153</v>
      </c>
      <c r="F28" s="61">
        <f>F23</f>
        <v>46159</v>
      </c>
      <c r="G28" s="14"/>
      <c r="H28" s="14">
        <f t="shared" si="33"/>
        <v>7</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row>
    <row r="29" spans="1:99" s="3" customFormat="1" ht="30" customHeight="1" thickBot="1" x14ac:dyDescent="0.35">
      <c r="A29" s="35" t="s">
        <v>19</v>
      </c>
      <c r="B29" s="24" t="s">
        <v>43</v>
      </c>
      <c r="C29" s="75" t="s">
        <v>49</v>
      </c>
      <c r="D29" s="25"/>
      <c r="E29" s="62">
        <v>46160</v>
      </c>
      <c r="F29" s="63">
        <v>46173</v>
      </c>
      <c r="G29" s="14"/>
      <c r="H29" s="14">
        <f t="shared" si="33"/>
        <v>14</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row>
    <row r="30" spans="1:99" s="3" customFormat="1" ht="30" customHeight="1" thickBot="1" x14ac:dyDescent="0.35">
      <c r="A30" s="35"/>
      <c r="B30" s="48" t="s">
        <v>59</v>
      </c>
      <c r="C30" s="76" t="s">
        <v>49</v>
      </c>
      <c r="D30" s="26">
        <v>0</v>
      </c>
      <c r="E30" s="64">
        <v>46160</v>
      </c>
      <c r="F30" s="64">
        <v>46167</v>
      </c>
      <c r="G30" s="14"/>
      <c r="H30" s="14">
        <f t="shared" si="33"/>
        <v>8</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row>
    <row r="31" spans="1:99" s="3" customFormat="1" ht="30" customHeight="1" thickBot="1" x14ac:dyDescent="0.35">
      <c r="A31" s="35"/>
      <c r="B31" s="48" t="s">
        <v>57</v>
      </c>
      <c r="C31" s="76" t="s">
        <v>49</v>
      </c>
      <c r="D31" s="26">
        <v>0</v>
      </c>
      <c r="E31" s="64">
        <v>46160</v>
      </c>
      <c r="F31" s="64">
        <v>46165</v>
      </c>
      <c r="G31" s="14"/>
      <c r="H31" s="14">
        <f t="shared" si="33"/>
        <v>6</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row>
    <row r="32" spans="1:99" s="3" customFormat="1" ht="30" customHeight="1" thickBot="1" x14ac:dyDescent="0.35">
      <c r="A32" s="35"/>
      <c r="B32" s="48" t="s">
        <v>56</v>
      </c>
      <c r="C32" s="76" t="s">
        <v>49</v>
      </c>
      <c r="D32" s="26">
        <v>0</v>
      </c>
      <c r="E32" s="64">
        <v>46164</v>
      </c>
      <c r="F32" s="64">
        <v>46169</v>
      </c>
      <c r="G32" s="14"/>
      <c r="H32" s="14">
        <f t="shared" si="33"/>
        <v>6</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row>
    <row r="33" spans="1:99" s="3" customFormat="1" ht="30" customHeight="1" thickBot="1" x14ac:dyDescent="0.35">
      <c r="A33" s="35"/>
      <c r="B33" s="48" t="s">
        <v>58</v>
      </c>
      <c r="C33" s="76" t="s">
        <v>49</v>
      </c>
      <c r="D33" s="26">
        <v>0</v>
      </c>
      <c r="E33" s="64">
        <v>46169</v>
      </c>
      <c r="F33" s="64">
        <v>46170</v>
      </c>
      <c r="G33" s="14"/>
      <c r="H33" s="14">
        <f t="shared" si="33"/>
        <v>2</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row>
    <row r="34" spans="1:99" s="3" customFormat="1" ht="30" customHeight="1" thickBot="1" x14ac:dyDescent="0.35">
      <c r="A34" s="35"/>
      <c r="B34" s="48" t="s">
        <v>55</v>
      </c>
      <c r="C34" s="76" t="s">
        <v>49</v>
      </c>
      <c r="D34" s="26">
        <v>0</v>
      </c>
      <c r="E34" s="64">
        <v>46170</v>
      </c>
      <c r="F34" s="64">
        <v>46173</v>
      </c>
      <c r="G34" s="14"/>
      <c r="H34" s="14">
        <f t="shared" si="33"/>
        <v>4</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row>
    <row r="35" spans="1:99" s="3" customFormat="1" ht="30" customHeight="1" thickBot="1" x14ac:dyDescent="0.35">
      <c r="A35" s="35" t="s">
        <v>20</v>
      </c>
      <c r="B35" s="49"/>
      <c r="C35" s="44"/>
      <c r="D35" s="13"/>
      <c r="E35" s="65"/>
      <c r="F35" s="65"/>
      <c r="G35" s="14"/>
      <c r="H35" s="14" t="str">
        <f t="shared" si="33"/>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row>
    <row r="36" spans="1:99" s="3" customFormat="1" ht="30" customHeight="1" thickBot="1" x14ac:dyDescent="0.35">
      <c r="A36" s="36" t="s">
        <v>21</v>
      </c>
      <c r="B36" s="27" t="s">
        <v>22</v>
      </c>
      <c r="C36" s="28"/>
      <c r="D36" s="29"/>
      <c r="E36" s="66"/>
      <c r="F36" s="67"/>
      <c r="G36" s="30"/>
      <c r="H36" s="30" t="str">
        <f t="shared" si="33"/>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row>
    <row r="37" spans="1:99" ht="30" customHeight="1" x14ac:dyDescent="0.3">
      <c r="G37" s="6"/>
    </row>
    <row r="38" spans="1:99" ht="30" customHeight="1" x14ac:dyDescent="0.3">
      <c r="C38" s="11"/>
      <c r="F38" s="37"/>
    </row>
    <row r="39" spans="1:99" ht="30" customHeight="1" x14ac:dyDescent="0.3">
      <c r="C39" s="12"/>
    </row>
  </sheetData>
  <mergeCells count="16">
    <mergeCell ref="BM4:BS4"/>
    <mergeCell ref="BT4:BZ4"/>
    <mergeCell ref="CA4:CG4"/>
    <mergeCell ref="CH4:CN4"/>
    <mergeCell ref="CO4:CU4"/>
    <mergeCell ref="BF4:BL4"/>
    <mergeCell ref="E3:F3"/>
    <mergeCell ref="I4:O4"/>
    <mergeCell ref="P4:V4"/>
    <mergeCell ref="W4:AC4"/>
    <mergeCell ref="AD4:AJ4"/>
    <mergeCell ref="C3:D3"/>
    <mergeCell ref="C4:D4"/>
    <mergeCell ref="AK4:AQ4"/>
    <mergeCell ref="AR4:AX4"/>
    <mergeCell ref="AY4:BE4"/>
  </mergeCells>
  <conditionalFormatting sqref="D7:D36">
    <cfRule type="dataBar" priority="2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U36">
    <cfRule type="expression" dxfId="2" priority="3">
      <formula>AND(TODAY()&gt;=I$5,TODAY()&lt;J$5)</formula>
    </cfRule>
  </conditionalFormatting>
  <conditionalFormatting sqref="I7:CU36">
    <cfRule type="expression" dxfId="1" priority="1">
      <formula>AND(início_da_tarefa&lt;=I$5,ROUNDDOWN((término_da_tarefa-início_da_tarefa+1)*progresso_da_tarefa,0)+início_da_tarefa-1&gt;=I$5)</formula>
    </cfRule>
    <cfRule type="expression" dxfId="0" priority="2"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8FE8ED85-58B3-4608-8E91-0433556D50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2026-05-18T00:47:04Z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